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ssment" sheetId="1" state="visible" r:id="rId3"/>
    <sheet name="Formul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<sst xmlns="http://schemas.openxmlformats.org/spreadsheetml/2006/main" count="69" uniqueCount="68">
  <si>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Enterprise Identity Readiness Assessment</t>
  </si>
  <si>
    <t xml:space="preserve">Foundeon</t>
  </si>
  <si>
    <t xml:space="preserve">© 2026 Anna Jibgashvili  |  www.foundeon.com  |  https://foundeon.com/eira</t>
  </si>
  <si>
    <t xml:space="preserve">Diagnostic Framework for Institutional Logic Articulation</t>
  </si>
  <si>
    <t xml:space="preserve">Instructions: Rate each statement on a scale of 1-5 (1=Strongly Disagree, 5=Strongly Agree). Your total score will calculate automatically.</t>
  </si>
  <si>
    <t xml:space="preserve">Dimension</t>
  </si>
  <si>
    <t xml:space="preserve">Assessment Statement</t>
  </si>
  <si>
    <t xml:space="preserve">Score (1-5)</t>
  </si>
  <si>
    <t xml:space="preserve">Weight</t>
  </si>
  <si>
    <t xml:space="preserve">Weighted Score</t>
  </si>
  <si>
    <t xml:space="preserve">Gap Analysis</t>
  </si>
  <si>
    <t xml:space="preserve">Trade-Off Articulation</t>
  </si>
  <si>
    <t xml:space="preserve">Our organization can explicitly describe how we prioritize competing objectives (e.g., speed vs. quality, cost vs. customer experience)</t>
  </si>
  <si>
    <t xml:space="preserve">When AI systems face conflicting priorities, we have documented decision hierarchies that reflect institutional values</t>
  </si>
  <si>
    <t xml:space="preserve">Trade-offs that define our competitive positioning are formalized beyond individual judgment</t>
  </si>
  <si>
    <t xml:space="preserve">Decision Boundary Definition</t>
  </si>
  <si>
    <t xml:space="preserve">We have clear, documented criteria for when decisions should be automated vs. require human oversight</t>
  </si>
  <si>
    <t xml:space="preserve">Escalation thresholds are explicit and consistent across similar decision types</t>
  </si>
  <si>
    <t xml:space="preserve">Authority boundaries for AI systems are defined architecturally, not just in policy documents</t>
  </si>
  <si>
    <t xml:space="preserve">Institutional Logic Digitalization</t>
  </si>
  <si>
    <t xml:space="preserve">Our institutional 'way of doing things' is documented in machine-actionable formats, not just prose</t>
  </si>
  <si>
    <t xml:space="preserve">Domain concepts (customer, risk, value, quality) have consistent definitions across systems and teams</t>
  </si>
  <si>
    <t xml:space="preserve">Strategic intent translates into specific, measurable parameters that systems can honor</t>
  </si>
  <si>
    <t xml:space="preserve">Ownership &amp; Accountability Clarity</t>
  </si>
  <si>
    <t xml:space="preserve">Decision rights and data ownership are explicit enough that AI systems know which authority governs which domain</t>
  </si>
  <si>
    <t xml:space="preserve">When institutional knowledge exists, we can identify who owns it and who is accountable for its accuracy</t>
  </si>
  <si>
    <t xml:space="preserve">Knowledge management extends beyond documentation to operational ownership structures</t>
  </si>
  <si>
    <t xml:space="preserve">Governance Maturity</t>
  </si>
  <si>
    <t xml:space="preserve">Our governance is institutional rather than project-based (standards persist beyond individual initiatives)</t>
  </si>
  <si>
    <t xml:space="preserve">Data quality and semantic consistency are enforced systematically, not case-by-case</t>
  </si>
  <si>
    <t xml:space="preserve">We have mechanisms to detect when AI systems drift from institutional intent</t>
  </si>
  <si>
    <t xml:space="preserve">Delegation Preparedness</t>
  </si>
  <si>
    <t xml:space="preserve">Before deploying AI in a workflow, we articulate what success means beyond efficiency metrics</t>
  </si>
  <si>
    <t xml:space="preserve">We can distinguish between what should be delegated to AI and what requires human judgment</t>
  </si>
  <si>
    <t xml:space="preserve">Our AI deployment strategy accounts for institutional coherence, not just technical capability</t>
  </si>
  <si>
    <t xml:space="preserve">TOTAL READINESS SCORE</t>
  </si>
  <si>
    <t xml:space="preserve">SCORE INTERPRETATION</t>
  </si>
  <si>
    <t xml:space="preserve">80-100  READY:  Your institutional logic is articulated clearly enough for AI to operate on it. The work now is holding that clarity as AI scales across more workflows and decisions. Board-ready line: "We have established that our institutional logic is explicit and owned, and we are positioned to scale AI on foundations we control."</t>
  </si>
  <si>
    <t xml:space="preserve">60-79  PROGRESSING:  The core of your institutional identity is in place, with specific dimensions ready to be made more explicit. Trade-Off Articulation and Decision Boundaries are the highest-leverage dimensions to formalize next. Board-ready line: "Our foundations are largely in place. We have identified the specific dimensions to formalize before we scale AI further, and we have a path to close them."</t>
  </si>
  <si>
    <t xml:space="preserve">40-59  EMERGING:  Several dimensions of your institutional logic are ready to be moved from tacit understanding into explicit, machine-readable form. Articulating these before delegating decisions to AI keeps your operating logic distinct and owned as you scale. Board-ready line: "We have a clear read on which foundations to establish before we delegate decisions to AI, and we are sequencing that work deliberately."</t>
  </si>
  <si>
    <t xml:space="preserve">0-39  FOUNDATIONAL:  This is the moment to author your institutional logic explicitly, before AI systems operate on defaults in its place. Making meaning, decision rights, and governance explicit now keeps them enterprise-owned as AI enters your workflows. Board-ready line: "We are establishing the foundations our AI program will run on now, so that our institutional logic remains explicit, owned, and governed as we scale."</t>
  </si>
  <si>
    <t xml:space="preserve">NEXT STEPS</t>
  </si>
  <si>
    <t xml:space="preserve">1. Review any dimension scoring below 4. These are the foundations to make explicit before AI operates on them at scale.</t>
  </si>
  <si>
    <t xml:space="preserve">2. Start with Trade-Off Articulation and Decision Boundaries. These two dimensions are foundational to everything you delegate to AI.</t>
  </si>
  <si>
    <t xml:space="preserve">3. Share this read with leadership. It gives you a defensible, board-ready statement of where the enterprise stands and what comes next.</t>
  </si>
  <si>
    <t xml:space="preserve">4. Turn the read into a build order. The Workflow Disposition Engagement reads each of your AI-candidate workflows against the readiness this assessment measures, assigns each a disposition, and returns a sequenced build order you can commit capital to. Scope and outcomes depend on the selected engagement model.</t>
  </si>
  <si>
    <t xml:space="preserve">5. Scope it in one executive conversation. Contact anna@foundeon.com to map your workflow population and confirm the path.</t>
  </si>
  <si>
    <t xml:space="preserve">Weighted Score formula is:</t>
  </si>
  <si>
    <t xml:space="preserve">=IF(ISBLANK(C[row]),"",C[row]*D[row]*20)</t>
  </si>
  <si>
    <t xml:space="preserve">What it does:</t>
  </si>
  <si>
    <t xml:space="preserve">IF(ISBLANK(C[row]),"",...) - Checks if the Score cell is blank</t>
  </si>
  <si>
    <t xml:space="preserve">If blank → shows nothing</t>
  </si>
  <si>
    <t xml:space="preserve">If not blank → calculates the weighted score</t>
  </si>
  <si>
    <t xml:space="preserve">C[row] * D[row] * 20 - The calculation:</t>
  </si>
  <si>
    <t xml:space="preserve">C[row] = Score (1-5)</t>
  </si>
  <si>
    <t xml:space="preserve">D[row] = Weight (varies by question)</t>
  </si>
  <si>
    <t xml:space="preserve">20 = Multiplier to scale to 100-point system</t>
  </si>
  <si>
    <t xml:space="preserve">Example calculation:</t>
  </si>
  <si>
    <t xml:space="preserve">Score = 4 (out of 5)</t>
  </si>
  <si>
    <t xml:space="preserve">Weight = 0.0667 (about 6.67% of total)</t>
  </si>
  <si>
    <t xml:space="preserve">Formula: 4 × 0.0667 × 20 = 5.34 points</t>
  </si>
  <si>
    <t xml:space="preserve">Why multiply by 20?</t>
  </si>
  <si>
    <t xml:space="preserve">Weights add up to 1.0 (100%)</t>
  </si>
  <si>
    <t xml:space="preserve">Max score is 5</t>
  </si>
  <si>
    <t xml:space="preserve">To get a 0-100 scale: 5 × 1.0 × 20 = 100</t>
  </si>
  <si>
    <t xml:space="preserve">So:</t>
  </si>
  <si>
    <t xml:space="preserve">Perfect score (all 5s) = 100 points</t>
  </si>
  <si>
    <t xml:space="preserve">Total score = Sum of all weighted scores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</si>
</sst>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2342"/>
      <name val="Calibri"/>
      <family val="2"/>
      <charset val="1"/>
    </font>
    <font>
      <b val="true"/>
      <sz val="12"/>
      <color rgb="FF0A2342"/>
      <name val="Calibri"/>
      <family val="2"/>
      <charset val="1"/>
    </font>
    <font>
      <i val="true"/>
      <sz val="9"/>
      <color rgb="FF666666"/>
      <name val="Calibri"/>
      <family val="2"/>
      <charset val="1"/>
    </font>
    <font>
      <b val="true"/>
      <sz val="18"/>
      <color rgb="FFFFFFFF"/>
      <name val="Arial"/>
      <family val="2"/>
      <charset val="1"/>
    </font>
    <font>
      <i val="true"/>
      <sz val="11"/>
      <color rgb="FF5A6C7D"/>
      <name val="Arial"/>
      <family val="2"/>
      <charset val="1"/>
    </font>
    <font>
      <b val="true"/>
      <sz val="11"/>
      <color rgb="FF44546A"/>
      <name val="Calibri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0A2342"/>
      <name val="Arial"/>
      <family val="2"/>
      <charset val="1"/>
    </font>
    <font>
      <sz val="9"/>
      <color rgb="FF5A6C7D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9"/>
      <name val="Arial"/>
      <family val="2"/>
      <charset val="1"/>
    </font>
    <font>
      <b val="true"/>
      <sz val="11"/>
      <color theme="3" tint="-0.5"/>
      <name val="Calibri"/>
      <family val="2"/>
      <charset val="1"/>
    </font>
    <font>
      <b val="true"/>
      <sz val="10"/>
      <color theme="3" tint="-0.5"/>
      <name val="Arial"/>
      <family val="2"/>
      <charset val="1"/>
    </font>
    <font>
      <b val="true"/>
      <sz val="12"/>
      <color rgb="FF0A2342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14181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A2342"/>
        <bgColor rgb="FF10243E"/>
      </patternFill>
    </fill>
    <fill>
      <patternFill patternType="solid">
        <fgColor rgb="FFF8F9FA"/>
        <bgColor rgb="FFFFFFFF"/>
      </patternFill>
    </fill>
    <fill>
      <patternFill patternType="solid">
        <fgColor rgb="FFFFFACD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ACD"/>
      <rgbColor rgb="FFF8F9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C7D"/>
      <rgbColor rgb="FF969696"/>
      <rgbColor rgb="FF0A2342"/>
      <rgbColor rgb="FF339966"/>
      <rgbColor rgb="FF14181F"/>
      <rgbColor rgb="FF333300"/>
      <rgbColor rgb="FF993300"/>
      <rgbColor rgb="FF993366"/>
      <rgbColor rgb="FF44546A"/>
      <rgbColor rgb="FF1024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9"/>
  <sheetViews>
    <sheetView showFormulas="false" showGridLines="true" showRowColHeaders="true" showZeros="true" rightToLeft="false" tabSelected="true" showOutlineSymbols="true" defaultGridColor="true" view="normal" topLeftCell="A1" colorId="64" zoomScale="128" zoomScaleNormal="128" zoomScalePageLayoutView="100" workbookViewId="0">
      <selection pane="topLeft" activeCell="J12" activeCellId="0" sqref="J12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.83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2.83"/>
  </cols>
  <sheetData>
    <row r="1" customFormat="false" ht="24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5.75" hidden="false" customHeight="true" outlineLevel="0" collapsed="false">
      <c r="B2" s="3" t="s">
        <v>1</v>
      </c>
      <c r="C2" s="3"/>
      <c r="D2" s="3"/>
      <c r="E2" s="3"/>
      <c r="F2" s="3"/>
      <c r="G2" s="3"/>
    </row>
    <row r="3" customFormat="false" ht="15" hidden="false" customHeight="true" outlineLevel="0" collapsed="false">
      <c r="B3" s="4" t="s">
        <v>2</v>
      </c>
    </row>
    <row r="5" customFormat="false" ht="30" hidden="false" customHeight="true" outlineLevel="0" collapsed="false">
      <c r="B5" s="5" t="s">
        <v>0</v>
      </c>
      <c r="C5" s="5"/>
      <c r="D5" s="5"/>
      <c r="E5" s="5"/>
      <c r="F5" s="5"/>
      <c r="G5" s="5"/>
    </row>
    <row r="6" customFormat="false" ht="16.5" hidden="false" customHeight="true" outlineLevel="0" collapsed="false">
      <c r="B6" s="6" t="s">
        <v>3</v>
      </c>
      <c r="C6" s="6"/>
      <c r="D6" s="6"/>
      <c r="E6" s="6"/>
      <c r="F6" s="6"/>
      <c r="G6" s="6"/>
    </row>
    <row r="7" customFormat="false" ht="16.5" hidden="false" customHeight="true" outlineLevel="0" collapsed="false">
      <c r="B7" s="7"/>
      <c r="C7" s="7"/>
      <c r="D7" s="7"/>
      <c r="E7" s="7"/>
      <c r="F7" s="7"/>
      <c r="G7" s="7"/>
    </row>
    <row r="8" customFormat="false" ht="27.75" hidden="false" customHeight="true" outlineLevel="0" collapsed="false">
      <c r="B8" s="8" t="s">
        <v>4</v>
      </c>
      <c r="C8" s="8"/>
    </row>
    <row r="10" customFormat="false" ht="28.5" hidden="false" customHeight="true" outlineLevel="0" collapsed="false">
      <c r="B10" s="9" t="s">
        <v>5</v>
      </c>
      <c r="C10" s="9" t="s">
        <v>6</v>
      </c>
      <c r="D10" s="9" t="s">
        <v>7</v>
      </c>
      <c r="E10" s="9" t="s">
        <v>8</v>
      </c>
      <c r="F10" s="9" t="s">
        <v>9</v>
      </c>
      <c r="G10" s="9" t="s">
        <v>10</v>
      </c>
    </row>
    <row r="11" customFormat="false" ht="19.5" hidden="false" customHeight="true" outlineLevel="0" collapsed="false">
      <c r="B11" s="10"/>
      <c r="C11" s="10"/>
      <c r="D11" s="11"/>
      <c r="E11" s="11"/>
      <c r="F11" s="11"/>
      <c r="G11" s="11"/>
    </row>
    <row r="12" customFormat="false" ht="39.75" hidden="false" customHeight="true" outlineLevel="0" collapsed="false">
      <c r="B12" s="12" t="s">
        <v>11</v>
      </c>
      <c r="C12" s="13" t="s">
        <v>12</v>
      </c>
      <c r="D12" s="14"/>
      <c r="E12" s="15" t="n">
        <v>0.0667</v>
      </c>
      <c r="F12" s="16" t="str">
        <f aca="false">IF(ISBLANK(D12),"",D12*E12*20)</f>
        <v/>
      </c>
      <c r="G12" s="17"/>
    </row>
    <row r="13" customFormat="false" ht="39.75" hidden="false" customHeight="true" outlineLevel="0" collapsed="false">
      <c r="B13" s="12"/>
      <c r="C13" s="13" t="s">
        <v>13</v>
      </c>
      <c r="D13" s="14"/>
      <c r="E13" s="15" t="n">
        <v>0.0667</v>
      </c>
      <c r="F13" s="16" t="str">
        <f aca="false">IF(ISBLANK(D13),"",D13*E13*20)</f>
        <v/>
      </c>
      <c r="G13" s="17" t="str">
        <f aca="false">IF(ISBLANK(D13),"",IF(D13&gt;=4,"Strong","Needs Work"))</f>
        <v/>
      </c>
    </row>
    <row r="14" customFormat="false" ht="39.75" hidden="false" customHeight="true" outlineLevel="0" collapsed="false">
      <c r="B14" s="12"/>
      <c r="C14" s="13" t="s">
        <v>14</v>
      </c>
      <c r="D14" s="14"/>
      <c r="E14" s="15" t="n">
        <v>0.0666</v>
      </c>
      <c r="F14" s="16" t="str">
        <f aca="false">IF(ISBLANK(D14),"",D14*E14*20)</f>
        <v/>
      </c>
      <c r="G14" s="17" t="str">
        <f aca="false">IF(ISBLANK(D14),"",IF(D14&gt;=4,"Strong","Needs Work"))</f>
        <v/>
      </c>
    </row>
    <row r="15" customFormat="false" ht="19.5" hidden="false" customHeight="true" outlineLevel="0" collapsed="false">
      <c r="B15" s="10"/>
      <c r="C15" s="10"/>
      <c r="D15" s="11"/>
      <c r="E15" s="11"/>
      <c r="F15" s="11"/>
      <c r="G15" s="11"/>
    </row>
    <row r="16" customFormat="false" ht="39.75" hidden="false" customHeight="true" outlineLevel="0" collapsed="false">
      <c r="B16" s="12" t="s">
        <v>15</v>
      </c>
      <c r="C16" s="13" t="s">
        <v>16</v>
      </c>
      <c r="D16" s="14"/>
      <c r="E16" s="15" t="n">
        <v>0.0667</v>
      </c>
      <c r="F16" s="16" t="str">
        <f aca="false">IF(ISBLANK(D16),"",D16*E16*20)</f>
        <v/>
      </c>
      <c r="G16" s="17" t="str">
        <f aca="false">IF(ISBLANK(D16),"",IF(D16&gt;=4,"Strong","Needs Work"))</f>
        <v/>
      </c>
    </row>
    <row r="17" customFormat="false" ht="39.75" hidden="false" customHeight="true" outlineLevel="0" collapsed="false">
      <c r="B17" s="12"/>
      <c r="C17" s="13" t="s">
        <v>17</v>
      </c>
      <c r="D17" s="14"/>
      <c r="E17" s="15" t="n">
        <v>0.0667</v>
      </c>
      <c r="F17" s="16" t="str">
        <f aca="false">IF(ISBLANK(D17),"",D17*E17*20)</f>
        <v/>
      </c>
      <c r="G17" s="17" t="str">
        <f aca="false">IF(ISBLANK(D17),"",IF(D17&gt;=4,"Strong","Needs Work"))</f>
        <v/>
      </c>
    </row>
    <row r="18" customFormat="false" ht="39.75" hidden="false" customHeight="true" outlineLevel="0" collapsed="false">
      <c r="B18" s="12"/>
      <c r="C18" s="13" t="s">
        <v>18</v>
      </c>
      <c r="D18" s="14"/>
      <c r="E18" s="15" t="n">
        <v>0.0666</v>
      </c>
      <c r="F18" s="16" t="str">
        <f aca="false">IF(ISBLANK(D18),"",D18*E18*20)</f>
        <v/>
      </c>
      <c r="G18" s="17" t="str">
        <f aca="false">IF(ISBLANK(D18),"",IF(D18&gt;=4,"Strong","Needs Work"))</f>
        <v/>
      </c>
    </row>
    <row r="19" customFormat="false" ht="19.5" hidden="false" customHeight="true" outlineLevel="0" collapsed="false">
      <c r="B19" s="10"/>
      <c r="C19" s="10"/>
      <c r="D19" s="11"/>
      <c r="E19" s="11"/>
      <c r="F19" s="11"/>
      <c r="G19" s="11"/>
    </row>
    <row r="20" customFormat="false" ht="39.75" hidden="false" customHeight="true" outlineLevel="0" collapsed="false">
      <c r="B20" s="12" t="s">
        <v>19</v>
      </c>
      <c r="C20" s="13" t="s">
        <v>20</v>
      </c>
      <c r="D20" s="14"/>
      <c r="E20" s="15" t="n">
        <v>0.0667</v>
      </c>
      <c r="F20" s="16" t="str">
        <f aca="false">IF(ISBLANK(D20),"",D20*E20*20)</f>
        <v/>
      </c>
      <c r="G20" s="17" t="str">
        <f aca="false">IF(ISBLANK(D20),"",IF(D20&gt;=4,"Strong","Needs Work"))</f>
        <v/>
      </c>
    </row>
    <row r="21" customFormat="false" ht="39.75" hidden="false" customHeight="true" outlineLevel="0" collapsed="false">
      <c r="B21" s="12"/>
      <c r="C21" s="13" t="s">
        <v>21</v>
      </c>
      <c r="D21" s="14"/>
      <c r="E21" s="15" t="n">
        <v>0.0667</v>
      </c>
      <c r="F21" s="16" t="str">
        <f aca="false">IF(ISBLANK(D21),"",D21*E21*20)</f>
        <v/>
      </c>
      <c r="G21" s="17" t="str">
        <f aca="false">IF(ISBLANK(D21),"",IF(D21&gt;=4,"Strong","Needs Work"))</f>
        <v/>
      </c>
    </row>
    <row r="22" customFormat="false" ht="39.75" hidden="false" customHeight="true" outlineLevel="0" collapsed="false">
      <c r="B22" s="12"/>
      <c r="C22" s="13" t="s">
        <v>22</v>
      </c>
      <c r="D22" s="14"/>
      <c r="E22" s="15" t="n">
        <v>0.0666</v>
      </c>
      <c r="F22" s="16" t="str">
        <f aca="false">IF(ISBLANK(D22),"",D22*E22*20)</f>
        <v/>
      </c>
      <c r="G22" s="17" t="str">
        <f aca="false">IF(ISBLANK(D22),"",IF(D22&gt;=4,"Strong","Needs Work"))</f>
        <v/>
      </c>
    </row>
    <row r="23" customFormat="false" ht="19.5" hidden="false" customHeight="true" outlineLevel="0" collapsed="false">
      <c r="B23" s="10"/>
      <c r="C23" s="10"/>
      <c r="D23" s="11"/>
      <c r="E23" s="11"/>
      <c r="F23" s="11"/>
      <c r="G23" s="11"/>
    </row>
    <row r="24" customFormat="false" ht="39.75" hidden="false" customHeight="true" outlineLevel="0" collapsed="false">
      <c r="B24" s="12" t="s">
        <v>23</v>
      </c>
      <c r="C24" s="13" t="s">
        <v>24</v>
      </c>
      <c r="D24" s="14"/>
      <c r="E24" s="15" t="n">
        <v>0.05</v>
      </c>
      <c r="F24" s="16" t="str">
        <f aca="false">IF(ISBLANK(D24),"",D24*E24*20)</f>
        <v/>
      </c>
      <c r="G24" s="17" t="str">
        <f aca="false">IF(ISBLANK(D24),"",IF(D24&gt;=4,"Strong","Needs Work"))</f>
        <v/>
      </c>
    </row>
    <row r="25" customFormat="false" ht="39.75" hidden="false" customHeight="true" outlineLevel="0" collapsed="false">
      <c r="B25" s="12"/>
      <c r="C25" s="13" t="s">
        <v>25</v>
      </c>
      <c r="D25" s="14"/>
      <c r="E25" s="15" t="n">
        <v>0.05</v>
      </c>
      <c r="F25" s="16" t="str">
        <f aca="false">IF(ISBLANK(D25),"",D25*E25*20)</f>
        <v/>
      </c>
      <c r="G25" s="17" t="str">
        <f aca="false">IF(ISBLANK(D25),"",IF(D25&gt;=4,"Strong","Needs Work"))</f>
        <v/>
      </c>
    </row>
    <row r="26" customFormat="false" ht="39.75" hidden="false" customHeight="true" outlineLevel="0" collapsed="false">
      <c r="B26" s="12"/>
      <c r="C26" s="13" t="s">
        <v>26</v>
      </c>
      <c r="D26" s="14"/>
      <c r="E26" s="15" t="n">
        <v>0.05</v>
      </c>
      <c r="F26" s="16" t="str">
        <f aca="false">IF(ISBLANK(D26),"",D26*E26*20)</f>
        <v/>
      </c>
      <c r="G26" s="17" t="str">
        <f aca="false">IF(ISBLANK(D26),"",IF(D26&gt;=4,"Strong","Needs Work"))</f>
        <v/>
      </c>
    </row>
    <row r="27" customFormat="false" ht="19.5" hidden="false" customHeight="true" outlineLevel="0" collapsed="false">
      <c r="B27" s="10"/>
      <c r="C27" s="10"/>
      <c r="D27" s="11"/>
      <c r="E27" s="11"/>
      <c r="F27" s="11"/>
      <c r="G27" s="11"/>
    </row>
    <row r="28" customFormat="false" ht="39.75" hidden="false" customHeight="true" outlineLevel="0" collapsed="false">
      <c r="B28" s="12" t="s">
        <v>27</v>
      </c>
      <c r="C28" s="13" t="s">
        <v>28</v>
      </c>
      <c r="D28" s="14"/>
      <c r="E28" s="15" t="n">
        <v>0.05</v>
      </c>
      <c r="F28" s="16" t="str">
        <f aca="false">IF(ISBLANK(D28),"",D28*E28*20)</f>
        <v/>
      </c>
      <c r="G28" s="17" t="str">
        <f aca="false">IF(ISBLANK(D28),"",IF(D28&gt;=4,"Strong","Needs Work"))</f>
        <v/>
      </c>
    </row>
    <row r="29" customFormat="false" ht="39.75" hidden="false" customHeight="true" outlineLevel="0" collapsed="false">
      <c r="B29" s="12"/>
      <c r="C29" s="13" t="s">
        <v>29</v>
      </c>
      <c r="D29" s="14"/>
      <c r="E29" s="15" t="n">
        <v>0.05</v>
      </c>
      <c r="F29" s="16" t="str">
        <f aca="false">IF(ISBLANK(D29),"",D29*E29*20)</f>
        <v/>
      </c>
      <c r="G29" s="17" t="str">
        <f aca="false">IF(ISBLANK(D29),"",IF(D29&gt;=4,"Strong","Needs Work"))</f>
        <v/>
      </c>
    </row>
    <row r="30" customFormat="false" ht="39.75" hidden="false" customHeight="true" outlineLevel="0" collapsed="false">
      <c r="B30" s="12"/>
      <c r="C30" s="13" t="s">
        <v>30</v>
      </c>
      <c r="D30" s="14"/>
      <c r="E30" s="15" t="n">
        <v>0.05</v>
      </c>
      <c r="F30" s="16" t="str">
        <f aca="false">IF(ISBLANK(D30),"",D30*E30*20)</f>
        <v/>
      </c>
      <c r="G30" s="17" t="str">
        <f aca="false">IF(ISBLANK(D30),"",IF(D30&gt;=4,"Strong","Needs Work"))</f>
        <v/>
      </c>
    </row>
    <row r="31" customFormat="false" ht="19.5" hidden="false" customHeight="true" outlineLevel="0" collapsed="false">
      <c r="B31" s="10"/>
      <c r="C31" s="10"/>
      <c r="D31" s="11"/>
      <c r="E31" s="11"/>
      <c r="F31" s="11"/>
      <c r="G31" s="11"/>
    </row>
    <row r="32" customFormat="false" ht="39.75" hidden="false" customHeight="true" outlineLevel="0" collapsed="false">
      <c r="B32" s="12" t="s">
        <v>31</v>
      </c>
      <c r="C32" s="13" t="s">
        <v>32</v>
      </c>
      <c r="D32" s="14"/>
      <c r="E32" s="15" t="n">
        <v>0.0334</v>
      </c>
      <c r="F32" s="16" t="str">
        <f aca="false">IF(ISBLANK(D32),"",D32*E32*20)</f>
        <v/>
      </c>
      <c r="G32" s="17" t="str">
        <f aca="false">IF(ISBLANK(D32),"",IF(D32&gt;=4,"Strong","Needs Work"))</f>
        <v/>
      </c>
    </row>
    <row r="33" customFormat="false" ht="39.75" hidden="false" customHeight="true" outlineLevel="0" collapsed="false">
      <c r="B33" s="12"/>
      <c r="C33" s="13" t="s">
        <v>33</v>
      </c>
      <c r="D33" s="14"/>
      <c r="E33" s="15" t="n">
        <v>0.0333</v>
      </c>
      <c r="F33" s="16" t="str">
        <f aca="false">IF(ISBLANK(D33),"",D33*E33*20)</f>
        <v/>
      </c>
      <c r="G33" s="17" t="str">
        <f aca="false">IF(ISBLANK(D33),"",IF(D33&gt;=4,"Strong","Needs Work"))</f>
        <v/>
      </c>
    </row>
    <row r="34" customFormat="false" ht="39.75" hidden="false" customHeight="true" outlineLevel="0" collapsed="false">
      <c r="B34" s="12"/>
      <c r="C34" s="13" t="s">
        <v>34</v>
      </c>
      <c r="D34" s="14"/>
      <c r="E34" s="15" t="n">
        <v>0.0333</v>
      </c>
      <c r="F34" s="16" t="str">
        <f aca="false">IF(ISBLANK(D34),"",D34*E34*20)</f>
        <v/>
      </c>
      <c r="G34" s="17" t="str">
        <f aca="false">IF(ISBLANK(D34),"",IF(D34&gt;=4,"Strong","Needs Work"))</f>
        <v/>
      </c>
    </row>
    <row r="36" s="18" customFormat="true" ht="24.75" hidden="false" customHeight="true" outlineLevel="0" collapsed="false">
      <c r="B36" s="19" t="s">
        <v>35</v>
      </c>
      <c r="C36" s="20"/>
      <c r="D36" s="20"/>
      <c r="E36" s="20"/>
      <c r="F36" s="21" t="n">
        <f aca="false">SUM(F11:F35)</f>
        <v>0</v>
      </c>
      <c r="G36" s="20"/>
    </row>
    <row r="38" customFormat="false" ht="15.75" hidden="false" customHeight="true" outlineLevel="0" collapsed="false">
      <c r="B38" s="22" t="s">
        <v>36</v>
      </c>
      <c r="C38" s="22"/>
      <c r="D38" s="22"/>
      <c r="E38" s="22"/>
      <c r="F38" s="22"/>
      <c r="G38" s="22"/>
    </row>
    <row r="39" customFormat="false" ht="15" hidden="false" customHeight="true" outlineLevel="0" collapsed="false">
      <c r="B39" s="23" t="s">
        <v>37</v>
      </c>
      <c r="C39" s="23"/>
      <c r="D39" s="23"/>
      <c r="E39" s="23"/>
      <c r="F39" s="23"/>
      <c r="G39" s="23"/>
    </row>
    <row r="40" customFormat="false" ht="15" hidden="false" customHeight="true" outlineLevel="0" collapsed="false">
      <c r="B40" s="23" t="s">
        <v>38</v>
      </c>
      <c r="C40" s="23"/>
      <c r="D40" s="23"/>
      <c r="E40" s="23"/>
      <c r="F40" s="23"/>
      <c r="G40" s="23"/>
    </row>
    <row r="41" customFormat="false" ht="15" hidden="false" customHeight="true" outlineLevel="0" collapsed="false">
      <c r="B41" s="23" t="s">
        <v>39</v>
      </c>
      <c r="C41" s="23"/>
      <c r="D41" s="23"/>
      <c r="E41" s="23"/>
      <c r="F41" s="23"/>
      <c r="G41" s="23"/>
    </row>
    <row r="42" customFormat="false" ht="15" hidden="false" customHeight="true" outlineLevel="0" collapsed="false">
      <c r="B42" s="23" t="s">
        <v>40</v>
      </c>
      <c r="C42" s="23"/>
      <c r="D42" s="23"/>
      <c r="E42" s="23"/>
      <c r="F42" s="23"/>
      <c r="G42" s="23"/>
    </row>
    <row r="44" customFormat="false" ht="15.75" hidden="false" customHeight="true" outlineLevel="0" collapsed="false">
      <c r="B44" s="24" t="s">
        <v>41</v>
      </c>
      <c r="C44" s="24"/>
      <c r="D44" s="24"/>
      <c r="E44" s="24"/>
      <c r="F44" s="24"/>
      <c r="G44" s="24"/>
    </row>
    <row r="45" customFormat="false" ht="15" hidden="false" customHeight="true" outlineLevel="0" collapsed="false">
      <c r="B45" s="23" t="s">
        <v>42</v>
      </c>
      <c r="C45" s="23"/>
      <c r="D45" s="23"/>
      <c r="E45" s="23"/>
      <c r="F45" s="23"/>
      <c r="G45" s="23"/>
    </row>
    <row r="46" customFormat="false" ht="15" hidden="false" customHeight="true" outlineLevel="0" collapsed="false">
      <c r="B46" s="23" t="s">
        <v>43</v>
      </c>
      <c r="C46" s="23"/>
      <c r="D46" s="23"/>
      <c r="E46" s="23"/>
      <c r="F46" s="23"/>
      <c r="G46" s="23"/>
    </row>
    <row r="47" customFormat="false" ht="15" hidden="false" customHeight="true" outlineLevel="0" collapsed="false">
      <c r="B47" s="23" t="s">
        <v>44</v>
      </c>
      <c r="C47" s="23"/>
      <c r="D47" s="23"/>
      <c r="E47" s="23"/>
      <c r="F47" s="23"/>
      <c r="G47" s="23"/>
    </row>
    <row r="48" customFormat="false" ht="15" hidden="false" customHeight="true" outlineLevel="0" collapsed="false">
      <c r="B48" s="23" t="s">
        <v>45</v>
      </c>
      <c r="C48" s="23"/>
      <c r="D48" s="23"/>
      <c r="E48" s="23"/>
      <c r="F48" s="23"/>
      <c r="G48" s="23"/>
    </row>
    <row r="49" customFormat="false" ht="15" hidden="false" customHeight="true" outlineLevel="0" collapsed="false">
      <c r="B49" s="23" t="s">
        <v>46</v>
      </c>
      <c r="C49" s="23"/>
      <c r="D49" s="23"/>
      <c r="E49" s="23"/>
      <c r="F49" s="23"/>
      <c r="G49" s="23"/>
    </row>
  </sheetData>
  <mergeCells count="28">
    <mergeCell ref="B1:G1"/>
    <mergeCell ref="B2:G2"/>
    <mergeCell ref="B5:G5"/>
    <mergeCell ref="B6:G6"/>
    <mergeCell ref="B8:C8"/>
    <mergeCell ref="B11:C11"/>
    <mergeCell ref="B12:B14"/>
    <mergeCell ref="B15:C15"/>
    <mergeCell ref="B16:B18"/>
    <mergeCell ref="B19:C19"/>
    <mergeCell ref="B20:B22"/>
    <mergeCell ref="B23:C23"/>
    <mergeCell ref="B24:B26"/>
    <mergeCell ref="B27:C27"/>
    <mergeCell ref="B28:B30"/>
    <mergeCell ref="B31:C31"/>
    <mergeCell ref="B32:B34"/>
    <mergeCell ref="B38:G38"/>
    <mergeCell ref="B39:G39"/>
    <mergeCell ref="B40:G40"/>
    <mergeCell ref="B41:G41"/>
    <mergeCell ref="B42:G42"/>
    <mergeCell ref="B44:G44"/>
    <mergeCell ref="B45:G45"/>
    <mergeCell ref="B46:G46"/>
    <mergeCell ref="B47:G47"/>
    <mergeCell ref="B48:G48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0.66796875" defaultRowHeight="15" zeroHeight="false" outlineLevelRow="0" outlineLevelCol="0"/>
  <cols>
    <col collapsed="false" customWidth="true" hidden="false" outlineLevel="0" max="2" min="2" style="1" width="45.5"/>
  </cols>
  <sheetData>
    <row r="2" customFormat="false" ht="15" hidden="false" customHeight="true" outlineLevel="0" collapsed="false">
      <c r="B2" s="25" t="s">
        <v>47</v>
      </c>
    </row>
    <row r="4" customFormat="false" ht="15" hidden="false" customHeight="true" outlineLevel="0" collapsed="false">
      <c r="B4" s="26" t="s">
        <v>48</v>
      </c>
    </row>
    <row r="6" customFormat="false" ht="15" hidden="false" customHeight="true" outlineLevel="0" collapsed="false">
      <c r="B6" s="25" t="s">
        <v>49</v>
      </c>
    </row>
    <row r="8" customFormat="false" ht="15" hidden="false" customHeight="true" outlineLevel="0" collapsed="false">
      <c r="B8" s="25" t="s">
        <v>50</v>
      </c>
    </row>
    <row r="9" customFormat="false" ht="15" hidden="false" customHeight="true" outlineLevel="0" collapsed="false">
      <c r="B9" s="1" t="s">
        <v>51</v>
      </c>
    </row>
    <row r="10" customFormat="false" ht="15" hidden="false" customHeight="true" outlineLevel="0" collapsed="false">
      <c r="B10" s="1" t="s">
        <v>52</v>
      </c>
    </row>
    <row r="11" customFormat="false" ht="15" hidden="false" customHeight="true" outlineLevel="0" collapsed="false">
      <c r="B11" s="25" t="s">
        <v>53</v>
      </c>
    </row>
    <row r="12" customFormat="false" ht="15" hidden="false" customHeight="true" outlineLevel="0" collapsed="false">
      <c r="B12" s="25" t="s">
        <v>54</v>
      </c>
    </row>
    <row r="13" customFormat="false" ht="15" hidden="false" customHeight="true" outlineLevel="0" collapsed="false">
      <c r="B13" s="25" t="s">
        <v>55</v>
      </c>
    </row>
    <row r="14" customFormat="false" ht="15" hidden="false" customHeight="true" outlineLevel="0" collapsed="false">
      <c r="B14" s="25" t="s">
        <v>56</v>
      </c>
    </row>
    <row r="16" customFormat="false" ht="15" hidden="false" customHeight="true" outlineLevel="0" collapsed="false">
      <c r="B16" s="25" t="s">
        <v>57</v>
      </c>
    </row>
    <row r="18" customFormat="false" ht="15" hidden="false" customHeight="true" outlineLevel="0" collapsed="false">
      <c r="B18" s="1" t="s">
        <v>58</v>
      </c>
    </row>
    <row r="19" customFormat="false" ht="15" hidden="false" customHeight="true" outlineLevel="0" collapsed="false">
      <c r="B19" s="1" t="s">
        <v>59</v>
      </c>
    </row>
    <row r="20" customFormat="false" ht="15" hidden="false" customHeight="true" outlineLevel="0" collapsed="false">
      <c r="B20" s="1" t="s">
        <v>60</v>
      </c>
    </row>
    <row r="22" customFormat="false" ht="15" hidden="false" customHeight="true" outlineLevel="0" collapsed="false">
      <c r="B22" s="25" t="s">
        <v>61</v>
      </c>
    </row>
    <row r="24" customFormat="false" ht="15" hidden="false" customHeight="true" outlineLevel="0" collapsed="false">
      <c r="B24" s="1" t="s">
        <v>62</v>
      </c>
    </row>
    <row r="25" customFormat="false" ht="15" hidden="false" customHeight="true" outlineLevel="0" collapsed="false">
      <c r="B25" s="1" t="s">
        <v>63</v>
      </c>
    </row>
    <row r="26" customFormat="false" ht="15" hidden="false" customHeight="true" outlineLevel="0" collapsed="false">
      <c r="B26" s="1" t="s">
        <v>64</v>
      </c>
    </row>
    <row r="28" customFormat="false" ht="15" hidden="false" customHeight="true" outlineLevel="0" collapsed="false">
      <c r="B28" s="25" t="s">
        <v>65</v>
      </c>
    </row>
    <row r="30" customFormat="false" ht="15" hidden="false" customHeight="true" outlineLevel="0" collapsed="false">
      <c r="B30" s="1" t="s">
        <v>66</v>
      </c>
    </row>
    <row r="31" customFormat="false" ht="15" hidden="false" customHeight="true" outlineLevel="0" collapsed="false">
      <c r="B31" s="1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2026-02-24T22:34:42Z</dcterms:created>
  <dc:creator>openpyxl</dc:creator>
  <dc:description/>
  <dc:language>en-US</dc:language>
  <cp:lastModifiedBy>anna jibgashvili</cp:lastModifiedBy>
  <dcterms:modified xsi:type="dcterms:W3CDTF">2026-08-13T14:20:07Z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