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najibgashvili/Desktop/Chain of Though/"/>
    </mc:Choice>
  </mc:AlternateContent>
  <xr:revisionPtr revIDLastSave="0" documentId="8_{D98C0C83-98B4-DD4C-810D-1E884878D059}" xr6:coauthVersionLast="47" xr6:coauthVersionMax="47" xr10:uidLastSave="{00000000-0000-0000-0000-000000000000}"/>
  <bookViews>
    <workbookView xWindow="40920" yWindow="1840" windowWidth="16380" windowHeight="24940" xr2:uid="{00000000-000D-0000-FFFF-FFFF00000000}"/>
  </bookViews>
  <sheets>
    <sheet name="Assessment" sheetId="1" r:id="rId1"/>
    <sheet name="Formul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G33" i="1"/>
  <c r="F33" i="1"/>
  <c r="G32" i="1"/>
  <c r="F32" i="1"/>
  <c r="G30" i="1"/>
  <c r="F30" i="1"/>
  <c r="G29" i="1"/>
  <c r="F29" i="1"/>
  <c r="G28" i="1"/>
  <c r="F28" i="1"/>
  <c r="G26" i="1"/>
  <c r="F26" i="1"/>
  <c r="G25" i="1"/>
  <c r="F25" i="1"/>
  <c r="G24" i="1"/>
  <c r="F24" i="1"/>
  <c r="G22" i="1"/>
  <c r="F22" i="1"/>
  <c r="G21" i="1"/>
  <c r="F21" i="1"/>
  <c r="G20" i="1"/>
  <c r="F20" i="1"/>
  <c r="G18" i="1"/>
  <c r="F18" i="1"/>
  <c r="G17" i="1"/>
  <c r="F17" i="1"/>
  <c r="G16" i="1"/>
  <c r="F16" i="1"/>
  <c r="G14" i="1"/>
  <c r="F14" i="1"/>
  <c r="G13" i="1"/>
  <c r="F13" i="1"/>
  <c r="G12" i="1"/>
  <c r="F12" i="1"/>
  <c r="F36" i="1" s="1"/>
</calcChain>
</file>

<file path=xl/sharedStrings.xml><?xml version="1.0" encoding="utf-8"?>
<sst xmlns="http://schemas.openxmlformats.org/spreadsheetml/2006/main" count="69" uniqueCount="68">
  <si>
    <t>Enterprise Identity Readiness Assessment</t>
  </si>
  <si>
    <t>Diagnostic Framework for Institutional Logic Articulation</t>
  </si>
  <si>
    <t>Instructions: Rate each statement on a scale of 1-5 (1=Strongly Disagree, 5=Strongly Agree). Your total score will calculate automatically.</t>
  </si>
  <si>
    <t>Dimension</t>
  </si>
  <si>
    <t>Assessment Statement</t>
  </si>
  <si>
    <t>Score (1-5)</t>
  </si>
  <si>
    <t>Weight</t>
  </si>
  <si>
    <t>Weighted Score</t>
  </si>
  <si>
    <t>Gap Analysis</t>
  </si>
  <si>
    <t>Trade-Off Articulation</t>
  </si>
  <si>
    <t>Our organization can explicitly describe how we prioritize competing objectives (e.g., speed vs. quality, cost vs. customer experience)</t>
  </si>
  <si>
    <t>When AI systems face conflicting priorities, we have documented decision hierarchies that reflect institutional values</t>
  </si>
  <si>
    <t>Trade-offs that define our competitive positioning are formalized beyond individual judgment</t>
  </si>
  <si>
    <t>Decision Boundary Definition</t>
  </si>
  <si>
    <t>We have clear, documented criteria for when decisions should be automated vs. require human oversight</t>
  </si>
  <si>
    <t>Escalation thresholds are explicit and consistent across similar decision types</t>
  </si>
  <si>
    <t>Authority boundaries for AI systems are defined architecturally, not just in policy documents</t>
  </si>
  <si>
    <t>Our institutional 'way of doing things' is documented in machine-actionable formats, not just prose</t>
  </si>
  <si>
    <t>Domain concepts (customer, risk, value, quality) have consistent definitions across systems and teams</t>
  </si>
  <si>
    <t>Strategic intent translates into specific, measurable parameters that systems can honor</t>
  </si>
  <si>
    <t>Ownership &amp; Accountability Clarity</t>
  </si>
  <si>
    <t>Decision rights and data ownership are explicit enough that AI systems know which authority governs which domain</t>
  </si>
  <si>
    <t>When institutional knowledge exists, we can identify who owns it and who is accountable for its accuracy</t>
  </si>
  <si>
    <t>Knowledge management extends beyond documentation to operational ownership structures</t>
  </si>
  <si>
    <t>Governance Maturity</t>
  </si>
  <si>
    <t>Our governance is institutional rather than project-based (standards persist beyond individual initiatives)</t>
  </si>
  <si>
    <t>Data quality and semantic consistency are enforced systematically, not case-by-case</t>
  </si>
  <si>
    <t>We have mechanisms to detect when AI systems drift from institutional intent</t>
  </si>
  <si>
    <t>Delegation Preparedness</t>
  </si>
  <si>
    <t>Before deploying AI in a workflow, we articulate what success means beyond efficiency metrics</t>
  </si>
  <si>
    <t>We can distinguish between what should be delegated to AI and what requires human judgment</t>
  </si>
  <si>
    <t>Our AI deployment strategy accounts for institutional coherence, not just technical capability</t>
  </si>
  <si>
    <t>TOTAL READINESS SCORE</t>
  </si>
  <si>
    <t>SCORE INTERPRETATION</t>
  </si>
  <si>
    <t>80-100: READY: Strong institutional identity foundation. Focus on maintaining clarity as AI scales.</t>
  </si>
  <si>
    <t>60-79: PROGRESSING: Key elements in place, but critical gaps remain. Prioritize trade-off articulation and decision boundaries.</t>
  </si>
  <si>
    <t>40-59: AT RISK: Significant structural ambiguity. AI delegation without articulation will likely result in convergence.</t>
  </si>
  <si>
    <t>0-39: URGENT: Institutional logic largely tacit. Immediate action required before AI systems harden around defaults.</t>
  </si>
  <si>
    <t>NEXT STEPS</t>
  </si>
  <si>
    <t>1. Review dimensions scoring below 4 - these represent structural gaps that AI will inherit</t>
  </si>
  <si>
    <t>2. Prioritize 'Trade-Off Articulation' and 'Decision Boundaries' - foundational for delegation</t>
  </si>
  <si>
    <t>3. Share results with leadership to align on institutional identity work</t>
  </si>
  <si>
    <t>4. Subscribe to Enterprise Identity Imperative series for frameworks and case studies</t>
  </si>
  <si>
    <t>Weighted Score formula is:</t>
  </si>
  <si>
    <t>What it does:</t>
  </si>
  <si>
    <t>If blank → shows nothing</t>
  </si>
  <si>
    <t>If not blank → calculates the weighted score</t>
  </si>
  <si>
    <t>20 = Multiplier to scale to 100-point system</t>
  </si>
  <si>
    <t>Example calculation:</t>
  </si>
  <si>
    <t>Score = 4 (out of 5)</t>
  </si>
  <si>
    <t>Weight = 0.0667 (about 6.67% of total)</t>
  </si>
  <si>
    <t>Formula: 4 × 0.0667 × 20 = 5.34 points</t>
  </si>
  <si>
    <t>Why multiply by 20?</t>
  </si>
  <si>
    <t>Weights add up to 1.0 (100%)</t>
  </si>
  <si>
    <t>Max score is 5</t>
  </si>
  <si>
    <t>To get a 0-100 scale: 5 × 1.0 × 20 = 100</t>
  </si>
  <si>
    <t>So:</t>
  </si>
  <si>
    <t>Perfect score (all 5s) = 100 points</t>
  </si>
  <si>
    <t>Total score = Sum of all weighted scores</t>
  </si>
  <si>
    <t>© 2026 Anna Jibgashvili | https://foundeon.com | https://foundationaldataproducts.com/tools</t>
  </si>
  <si>
    <t>Institutional Logic Digitalization</t>
  </si>
  <si>
    <t>=IF(ISBLANK(D[row]),"",D[row]*E[row]*20)</t>
  </si>
  <si>
    <t>IF(ISBLANK(D[row]),"",...) - Checks if the Score cell is blank</t>
  </si>
  <si>
    <t>D[row] * E[row] * 20 - The calculation:</t>
  </si>
  <si>
    <t>D[row] = Score (1-5)</t>
  </si>
  <si>
    <t>E[row] = Weight (varies by question)</t>
  </si>
  <si>
    <t>5. Contact: anna@foundeon.com for consultation on digitalizing institutional logic</t>
  </si>
  <si>
    <t>Foundeon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</si>
</sst>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11"/>
      <color theme="1"/>
      <name val="Calibri"/>
    </font>
    <font>
      <b/>
      <sz val="18"/>
      <color rgb="FF0A2342"/>
      <name val="Calibri"/>
      <family val="2"/>
    </font>
    <font>
      <b/>
      <sz val="12"/>
      <color rgb="FF0A2342"/>
      <name val="Calibri"/>
      <family val="2"/>
    </font>
    <font>
      <i/>
      <sz val="9"/>
      <color rgb="FF666666"/>
      <name val="Calibri"/>
      <family val="2"/>
    </font>
    <font>
      <b/>
      <sz val="18"/>
      <color rgb="FFFFFFFF"/>
      <name val="Arial"/>
      <family val="2"/>
    </font>
    <font>
      <i/>
      <sz val="11"/>
      <color rgb="FF5A6C7D"/>
      <name val="Arial"/>
      <family val="2"/>
    </font>
    <font>
      <b/>
      <sz val="11"/>
      <color rgb="FF44546A"/>
      <name val="Calibri"/>
      <family val="2"/>
    </font>
    <font>
      <b/>
      <sz val="11"/>
      <color rgb="FFFFFFFF"/>
      <name val="Arial"/>
      <family val="2"/>
    </font>
    <font>
      <b/>
      <sz val="11"/>
      <color rgb="FF0A2342"/>
      <name val="Arial"/>
      <family val="2"/>
    </font>
    <font>
      <sz val="9"/>
      <color rgb="FF5A6C7D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b/>
      <sz val="11"/>
      <color theme="3" tint="-0.49995422223578601"/>
      <name val="Calibri"/>
      <family val="2"/>
    </font>
    <font>
      <b/>
      <sz val="10"/>
      <color theme="3" tint="-0.49995422223578601"/>
      <name val="Arial"/>
      <family val="2"/>
    </font>
    <font>
      <b/>
      <sz val="12"/>
      <color rgb="FF0A2342"/>
      <name val="Arial"/>
      <family val="2"/>
    </font>
    <font>
      <b/>
      <sz val="11"/>
      <color theme="1"/>
      <name val="Calibri"/>
      <family val="2"/>
    </font>
    <font>
      <sz val="10"/>
      <color rgb="FF1418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F8F9FA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0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8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ACD"/>
      <rgbColor rgb="FFF8F9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C7D"/>
      <rgbColor rgb="FF969696"/>
      <rgbColor rgb="FF0A2342"/>
      <rgbColor rgb="FF339966"/>
      <rgbColor rgb="FF14181F"/>
      <rgbColor rgb="FF333300"/>
      <rgbColor rgb="FF993300"/>
      <rgbColor rgb="FF993366"/>
      <rgbColor rgb="FF44546A"/>
      <rgbColor rgb="FF1024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9"/>
  <sheetViews>
    <sheetView tabSelected="1" workbookViewId="0">
      <selection activeCell="G20" sqref="G20"/>
    </sheetView>
  </sheetViews>
  <sheetFormatPr baseColWidth="10" defaultColWidth="8.6640625" defaultRowHeight="15" x14ac:dyDescent="0.2"/>
  <cols>
    <col min="1" max="1" width="1.83203125" customWidth="1"/>
    <col min="2" max="2" width="18" customWidth="1"/>
    <col min="3" max="3" width="55" customWidth="1"/>
    <col min="4" max="4" width="12" customWidth="1"/>
    <col min="5" max="5" width="10" customWidth="1"/>
    <col min="6" max="6" width="15" customWidth="1"/>
    <col min="7" max="7" width="12.83203125" customWidth="1"/>
  </cols>
  <sheetData>
    <row r="1" spans="2:7" ht="32" customHeight="1" x14ac:dyDescent="0.2">
      <c r="B1" s="16" t="s">
        <v>0</v>
      </c>
      <c r="C1" s="16"/>
      <c r="D1" s="16"/>
      <c r="E1" s="16"/>
      <c r="F1" s="16"/>
      <c r="G1" s="16"/>
    </row>
    <row r="2" spans="2:7" ht="21" customHeight="1" x14ac:dyDescent="0.2">
      <c r="B2" s="17" t="s">
        <v>67</v>
      </c>
      <c r="C2" s="17"/>
      <c r="D2" s="17"/>
      <c r="E2" s="17"/>
      <c r="F2" s="17"/>
      <c r="G2" s="17"/>
    </row>
    <row r="3" spans="2:7" x14ac:dyDescent="0.2">
      <c r="B3" s="2" t="s">
        <v>59</v>
      </c>
    </row>
    <row r="5" spans="2:7" ht="40" customHeight="1" x14ac:dyDescent="0.2">
      <c r="B5" s="18" t="s">
        <v>0</v>
      </c>
      <c r="C5" s="18"/>
      <c r="D5" s="18"/>
      <c r="E5" s="18"/>
      <c r="F5" s="18"/>
      <c r="G5" s="18"/>
    </row>
    <row r="6" spans="2:7" ht="22" customHeight="1" x14ac:dyDescent="0.2">
      <c r="B6" s="19" t="s">
        <v>1</v>
      </c>
      <c r="C6" s="19"/>
      <c r="D6" s="19"/>
      <c r="E6" s="19"/>
      <c r="F6" s="19"/>
      <c r="G6" s="19"/>
    </row>
    <row r="7" spans="2:7" ht="22" customHeight="1" x14ac:dyDescent="0.2">
      <c r="B7" s="1"/>
      <c r="C7" s="1"/>
      <c r="D7" s="1"/>
      <c r="E7" s="1"/>
      <c r="F7" s="1"/>
      <c r="G7" s="1"/>
    </row>
    <row r="8" spans="2:7" ht="37.75" customHeight="1" x14ac:dyDescent="0.2">
      <c r="B8" s="20" t="s">
        <v>2</v>
      </c>
      <c r="C8" s="20"/>
    </row>
    <row r="10" spans="2:7" ht="38" customHeight="1" x14ac:dyDescent="0.2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2:7" ht="26" customHeight="1" x14ac:dyDescent="0.2">
      <c r="B11" s="21"/>
      <c r="C11" s="21"/>
      <c r="D11" s="4"/>
      <c r="E11" s="4"/>
      <c r="F11" s="4"/>
      <c r="G11" s="4"/>
    </row>
    <row r="12" spans="2:7" ht="53" customHeight="1" x14ac:dyDescent="0.2">
      <c r="B12" s="22" t="s">
        <v>9</v>
      </c>
      <c r="C12" s="5" t="s">
        <v>10</v>
      </c>
      <c r="D12" s="6"/>
      <c r="E12" s="7">
        <v>6.6699999999999995E-2</v>
      </c>
      <c r="F12" s="8" t="str">
        <f>IF(ISBLANK(D12),"",D12*E12*20)</f>
        <v/>
      </c>
      <c r="G12" s="9" t="str">
        <f>IF(ISBLANK(D12),"",IF(D12&gt;=4,"Strong","Needs Work"))</f>
        <v/>
      </c>
    </row>
    <row r="13" spans="2:7" ht="53" customHeight="1" x14ac:dyDescent="0.2">
      <c r="B13" s="22"/>
      <c r="C13" s="5" t="s">
        <v>11</v>
      </c>
      <c r="D13" s="6"/>
      <c r="E13" s="7">
        <v>6.6699999999999995E-2</v>
      </c>
      <c r="F13" s="8" t="str">
        <f>IF(ISBLANK(D13),"",D13*E13*20)</f>
        <v/>
      </c>
      <c r="G13" s="9" t="str">
        <f>IF(ISBLANK(D13),"",IF(D13&gt;=4,"Strong","Needs Work"))</f>
        <v/>
      </c>
    </row>
    <row r="14" spans="2:7" ht="53" customHeight="1" x14ac:dyDescent="0.2">
      <c r="B14" s="22"/>
      <c r="C14" s="5" t="s">
        <v>12</v>
      </c>
      <c r="D14" s="6"/>
      <c r="E14" s="7">
        <v>6.6600000000000006E-2</v>
      </c>
      <c r="F14" s="8" t="str">
        <f>IF(ISBLANK(D14),"",D14*E14*20)</f>
        <v/>
      </c>
      <c r="G14" s="9" t="str">
        <f>IF(ISBLANK(D14),"",IF(D14&gt;=4,"Strong","Needs Work"))</f>
        <v/>
      </c>
    </row>
    <row r="15" spans="2:7" ht="26" customHeight="1" x14ac:dyDescent="0.2">
      <c r="B15" s="21"/>
      <c r="C15" s="21"/>
      <c r="D15" s="4"/>
      <c r="E15" s="4"/>
      <c r="F15" s="4"/>
      <c r="G15" s="4"/>
    </row>
    <row r="16" spans="2:7" ht="53" customHeight="1" x14ac:dyDescent="0.2">
      <c r="B16" s="22" t="s">
        <v>13</v>
      </c>
      <c r="C16" s="5" t="s">
        <v>14</v>
      </c>
      <c r="D16" s="6"/>
      <c r="E16" s="7">
        <v>6.6699999999999995E-2</v>
      </c>
      <c r="F16" s="8" t="str">
        <f>IF(ISBLANK(D16),"",D16*E16*20)</f>
        <v/>
      </c>
      <c r="G16" s="9" t="str">
        <f>IF(ISBLANK(D16),"",IF(D16&gt;=4,"Strong","Needs Work"))</f>
        <v/>
      </c>
    </row>
    <row r="17" spans="2:7" ht="53" customHeight="1" x14ac:dyDescent="0.2">
      <c r="B17" s="22"/>
      <c r="C17" s="5" t="s">
        <v>15</v>
      </c>
      <c r="D17" s="6"/>
      <c r="E17" s="7">
        <v>6.6699999999999995E-2</v>
      </c>
      <c r="F17" s="8" t="str">
        <f>IF(ISBLANK(D17),"",D17*E17*20)</f>
        <v/>
      </c>
      <c r="G17" s="9" t="str">
        <f>IF(ISBLANK(D17),"",IF(D17&gt;=4,"Strong","Needs Work"))</f>
        <v/>
      </c>
    </row>
    <row r="18" spans="2:7" ht="53" customHeight="1" x14ac:dyDescent="0.2">
      <c r="B18" s="22"/>
      <c r="C18" s="5" t="s">
        <v>16</v>
      </c>
      <c r="D18" s="6"/>
      <c r="E18" s="7">
        <v>6.6600000000000006E-2</v>
      </c>
      <c r="F18" s="8" t="str">
        <f>IF(ISBLANK(D18),"",D18*E18*20)</f>
        <v/>
      </c>
      <c r="G18" s="9" t="str">
        <f>IF(ISBLANK(D18),"",IF(D18&gt;=4,"Strong","Needs Work"))</f>
        <v/>
      </c>
    </row>
    <row r="19" spans="2:7" ht="26" customHeight="1" x14ac:dyDescent="0.2">
      <c r="B19" s="21"/>
      <c r="C19" s="21"/>
      <c r="D19" s="4"/>
      <c r="E19" s="4"/>
      <c r="F19" s="4"/>
      <c r="G19" s="4"/>
    </row>
    <row r="20" spans="2:7" ht="53" customHeight="1" x14ac:dyDescent="0.2">
      <c r="B20" s="22" t="s">
        <v>60</v>
      </c>
      <c r="C20" s="5" t="s">
        <v>17</v>
      </c>
      <c r="D20" s="6"/>
      <c r="E20" s="7">
        <v>6.6699999999999995E-2</v>
      </c>
      <c r="F20" s="8" t="str">
        <f>IF(ISBLANK(D20),"",D20*E20*20)</f>
        <v/>
      </c>
      <c r="G20" s="9" t="str">
        <f>IF(ISBLANK(D20),"",IF(D20&gt;=4,"Strong","Needs Work"))</f>
        <v/>
      </c>
    </row>
    <row r="21" spans="2:7" ht="53" customHeight="1" x14ac:dyDescent="0.2">
      <c r="B21" s="22"/>
      <c r="C21" s="5" t="s">
        <v>18</v>
      </c>
      <c r="D21" s="6"/>
      <c r="E21" s="7">
        <v>6.6699999999999995E-2</v>
      </c>
      <c r="F21" s="8" t="str">
        <f>IF(ISBLANK(D21),"",D21*E21*20)</f>
        <v/>
      </c>
      <c r="G21" s="9" t="str">
        <f>IF(ISBLANK(D21),"",IF(D21&gt;=4,"Strong","Needs Work"))</f>
        <v/>
      </c>
    </row>
    <row r="22" spans="2:7" ht="53" customHeight="1" x14ac:dyDescent="0.2">
      <c r="B22" s="22"/>
      <c r="C22" s="5" t="s">
        <v>19</v>
      </c>
      <c r="D22" s="6"/>
      <c r="E22" s="7">
        <v>6.6600000000000006E-2</v>
      </c>
      <c r="F22" s="8" t="str">
        <f>IF(ISBLANK(D22),"",D22*E22*20)</f>
        <v/>
      </c>
      <c r="G22" s="9" t="str">
        <f>IF(ISBLANK(D22),"",IF(D22&gt;=4,"Strong","Needs Work"))</f>
        <v/>
      </c>
    </row>
    <row r="23" spans="2:7" ht="26" customHeight="1" x14ac:dyDescent="0.2">
      <c r="B23" s="21"/>
      <c r="C23" s="21"/>
      <c r="D23" s="4"/>
      <c r="E23" s="4"/>
      <c r="F23" s="4"/>
      <c r="G23" s="4"/>
    </row>
    <row r="24" spans="2:7" ht="53" customHeight="1" x14ac:dyDescent="0.2">
      <c r="B24" s="22" t="s">
        <v>20</v>
      </c>
      <c r="C24" s="5" t="s">
        <v>21</v>
      </c>
      <c r="D24" s="6"/>
      <c r="E24" s="7">
        <v>0.05</v>
      </c>
      <c r="F24" s="8" t="str">
        <f>IF(ISBLANK(D24),"",D24*E24*20)</f>
        <v/>
      </c>
      <c r="G24" s="9" t="str">
        <f>IF(ISBLANK(D24),"",IF(D24&gt;=4,"Strong","Needs Work"))</f>
        <v/>
      </c>
    </row>
    <row r="25" spans="2:7" ht="53" customHeight="1" x14ac:dyDescent="0.2">
      <c r="B25" s="22"/>
      <c r="C25" s="5" t="s">
        <v>22</v>
      </c>
      <c r="D25" s="6"/>
      <c r="E25" s="7">
        <v>0.05</v>
      </c>
      <c r="F25" s="8" t="str">
        <f>IF(ISBLANK(D25),"",D25*E25*20)</f>
        <v/>
      </c>
      <c r="G25" s="9" t="str">
        <f>IF(ISBLANK(D25),"",IF(D25&gt;=4,"Strong","Needs Work"))</f>
        <v/>
      </c>
    </row>
    <row r="26" spans="2:7" ht="53" customHeight="1" x14ac:dyDescent="0.2">
      <c r="B26" s="22"/>
      <c r="C26" s="5" t="s">
        <v>23</v>
      </c>
      <c r="D26" s="6"/>
      <c r="E26" s="7">
        <v>0.05</v>
      </c>
      <c r="F26" s="8" t="str">
        <f>IF(ISBLANK(D26),"",D26*E26*20)</f>
        <v/>
      </c>
      <c r="G26" s="9" t="str">
        <f>IF(ISBLANK(D26),"",IF(D26&gt;=4,"Strong","Needs Work"))</f>
        <v/>
      </c>
    </row>
    <row r="27" spans="2:7" ht="26" customHeight="1" x14ac:dyDescent="0.2">
      <c r="B27" s="21"/>
      <c r="C27" s="21"/>
      <c r="D27" s="4"/>
      <c r="E27" s="4"/>
      <c r="F27" s="4"/>
      <c r="G27" s="4"/>
    </row>
    <row r="28" spans="2:7" ht="53" customHeight="1" x14ac:dyDescent="0.2">
      <c r="B28" s="22" t="s">
        <v>24</v>
      </c>
      <c r="C28" s="5" t="s">
        <v>25</v>
      </c>
      <c r="D28" s="6"/>
      <c r="E28" s="7">
        <v>0.05</v>
      </c>
      <c r="F28" s="8" t="str">
        <f>IF(ISBLANK(D28),"",D28*E28*20)</f>
        <v/>
      </c>
      <c r="G28" s="9" t="str">
        <f>IF(ISBLANK(D28),"",IF(D28&gt;=4,"Strong","Needs Work"))</f>
        <v/>
      </c>
    </row>
    <row r="29" spans="2:7" ht="53" customHeight="1" x14ac:dyDescent="0.2">
      <c r="B29" s="22"/>
      <c r="C29" s="5" t="s">
        <v>26</v>
      </c>
      <c r="D29" s="6"/>
      <c r="E29" s="7">
        <v>0.05</v>
      </c>
      <c r="F29" s="8" t="str">
        <f>IF(ISBLANK(D29),"",D29*E29*20)</f>
        <v/>
      </c>
      <c r="G29" s="9" t="str">
        <f>IF(ISBLANK(D29),"",IF(D29&gt;=4,"Strong","Needs Work"))</f>
        <v/>
      </c>
    </row>
    <row r="30" spans="2:7" ht="53" customHeight="1" x14ac:dyDescent="0.2">
      <c r="B30" s="22"/>
      <c r="C30" s="5" t="s">
        <v>27</v>
      </c>
      <c r="D30" s="6"/>
      <c r="E30" s="7">
        <v>0.05</v>
      </c>
      <c r="F30" s="8" t="str">
        <f>IF(ISBLANK(D30),"",D30*E30*20)</f>
        <v/>
      </c>
      <c r="G30" s="9" t="str">
        <f>IF(ISBLANK(D30),"",IF(D30&gt;=4,"Strong","Needs Work"))</f>
        <v/>
      </c>
    </row>
    <row r="31" spans="2:7" ht="26" customHeight="1" x14ac:dyDescent="0.2">
      <c r="B31" s="21"/>
      <c r="C31" s="21"/>
      <c r="D31" s="4"/>
      <c r="E31" s="4"/>
      <c r="F31" s="4"/>
      <c r="G31" s="4"/>
    </row>
    <row r="32" spans="2:7" ht="53" customHeight="1" x14ac:dyDescent="0.2">
      <c r="B32" s="22" t="s">
        <v>28</v>
      </c>
      <c r="C32" s="5" t="s">
        <v>29</v>
      </c>
      <c r="D32" s="6"/>
      <c r="E32" s="7">
        <v>3.3399999999999999E-2</v>
      </c>
      <c r="F32" s="8" t="str">
        <f>IF(ISBLANK(D32),"",D32*E32*20)</f>
        <v/>
      </c>
      <c r="G32" s="9" t="str">
        <f>IF(ISBLANK(D32),"",IF(D32&gt;=4,"Strong","Needs Work"))</f>
        <v/>
      </c>
    </row>
    <row r="33" spans="2:7" ht="53" customHeight="1" x14ac:dyDescent="0.2">
      <c r="B33" s="22"/>
      <c r="C33" s="5" t="s">
        <v>30</v>
      </c>
      <c r="D33" s="6"/>
      <c r="E33" s="7">
        <v>3.3300000000000003E-2</v>
      </c>
      <c r="F33" s="8" t="str">
        <f>IF(ISBLANK(D33),"",D33*E33*20)</f>
        <v/>
      </c>
      <c r="G33" s="9" t="str">
        <f>IF(ISBLANK(D33),"",IF(D33&gt;=4,"Strong","Needs Work"))</f>
        <v/>
      </c>
    </row>
    <row r="34" spans="2:7" ht="53" customHeight="1" x14ac:dyDescent="0.2">
      <c r="B34" s="22"/>
      <c r="C34" s="5" t="s">
        <v>31</v>
      </c>
      <c r="D34" s="6"/>
      <c r="E34" s="7">
        <v>3.3300000000000003E-2</v>
      </c>
      <c r="F34" s="8" t="str">
        <f>IF(ISBLANK(D34),"",D34*E34*20)</f>
        <v/>
      </c>
      <c r="G34" s="9" t="str">
        <f>IF(ISBLANK(D34),"",IF(D34&gt;=4,"Strong","Needs Work"))</f>
        <v/>
      </c>
    </row>
    <row r="36" spans="2:7" s="10" customFormat="1" ht="33" customHeight="1" x14ac:dyDescent="0.2">
      <c r="B36" s="11" t="s">
        <v>32</v>
      </c>
      <c r="C36" s="12"/>
      <c r="D36" s="12"/>
      <c r="E36" s="12"/>
      <c r="F36" s="13">
        <f>SUM(F11:F35)</f>
        <v>0</v>
      </c>
      <c r="G36" s="12"/>
    </row>
    <row r="38" spans="2:7" ht="21" customHeight="1" x14ac:dyDescent="0.2">
      <c r="B38" s="23" t="s">
        <v>33</v>
      </c>
      <c r="C38" s="23"/>
      <c r="D38" s="23"/>
      <c r="E38" s="23"/>
      <c r="F38" s="23"/>
      <c r="G38" s="23"/>
    </row>
    <row r="39" spans="2:7" ht="20" customHeight="1" x14ac:dyDescent="0.2">
      <c r="B39" s="24" t="s">
        <v>34</v>
      </c>
      <c r="C39" s="24"/>
      <c r="D39" s="24"/>
      <c r="E39" s="24"/>
      <c r="F39" s="24"/>
      <c r="G39" s="24"/>
    </row>
    <row r="40" spans="2:7" ht="20" customHeight="1" x14ac:dyDescent="0.2">
      <c r="B40" s="24" t="s">
        <v>35</v>
      </c>
      <c r="C40" s="24"/>
      <c r="D40" s="24"/>
      <c r="E40" s="24"/>
      <c r="F40" s="24"/>
      <c r="G40" s="24"/>
    </row>
    <row r="41" spans="2:7" ht="20" customHeight="1" x14ac:dyDescent="0.2">
      <c r="B41" s="24" t="s">
        <v>36</v>
      </c>
      <c r="C41" s="24"/>
      <c r="D41" s="24"/>
      <c r="E41" s="24"/>
      <c r="F41" s="24"/>
      <c r="G41" s="24"/>
    </row>
    <row r="42" spans="2:7" ht="20" customHeight="1" x14ac:dyDescent="0.2">
      <c r="B42" s="24" t="s">
        <v>37</v>
      </c>
      <c r="C42" s="24"/>
      <c r="D42" s="24"/>
      <c r="E42" s="24"/>
      <c r="F42" s="24"/>
      <c r="G42" s="24"/>
    </row>
    <row r="44" spans="2:7" ht="21" customHeight="1" x14ac:dyDescent="0.2">
      <c r="B44" s="25" t="s">
        <v>38</v>
      </c>
      <c r="C44" s="25"/>
      <c r="D44" s="25"/>
      <c r="E44" s="25"/>
      <c r="F44" s="25"/>
      <c r="G44" s="25"/>
    </row>
    <row r="45" spans="2:7" ht="20" customHeight="1" x14ac:dyDescent="0.2">
      <c r="B45" s="24" t="s">
        <v>39</v>
      </c>
      <c r="C45" s="24"/>
      <c r="D45" s="24"/>
      <c r="E45" s="24"/>
      <c r="F45" s="24"/>
      <c r="G45" s="24"/>
    </row>
    <row r="46" spans="2:7" ht="20" customHeight="1" x14ac:dyDescent="0.2">
      <c r="B46" s="24" t="s">
        <v>40</v>
      </c>
      <c r="C46" s="24"/>
      <c r="D46" s="24"/>
      <c r="E46" s="24"/>
      <c r="F46" s="24"/>
      <c r="G46" s="24"/>
    </row>
    <row r="47" spans="2:7" ht="20" customHeight="1" x14ac:dyDescent="0.2">
      <c r="B47" s="24" t="s">
        <v>41</v>
      </c>
      <c r="C47" s="24"/>
      <c r="D47" s="24"/>
      <c r="E47" s="24"/>
      <c r="F47" s="24"/>
      <c r="G47" s="24"/>
    </row>
    <row r="48" spans="2:7" ht="20" customHeight="1" x14ac:dyDescent="0.2">
      <c r="B48" s="24" t="s">
        <v>42</v>
      </c>
      <c r="C48" s="24"/>
      <c r="D48" s="24"/>
      <c r="E48" s="24"/>
      <c r="F48" s="24"/>
      <c r="G48" s="24"/>
    </row>
    <row r="49" spans="2:7" ht="20" customHeight="1" x14ac:dyDescent="0.2">
      <c r="B49" s="24" t="s">
        <v>66</v>
      </c>
      <c r="C49" s="24"/>
      <c r="D49" s="24"/>
      <c r="E49" s="24"/>
      <c r="F49" s="24"/>
      <c r="G49" s="24"/>
    </row>
  </sheetData>
  <mergeCells count="28">
    <mergeCell ref="B47:G47"/>
    <mergeCell ref="B48:G48"/>
    <mergeCell ref="B49:G49"/>
    <mergeCell ref="B41:G41"/>
    <mergeCell ref="B42:G42"/>
    <mergeCell ref="B44:G44"/>
    <mergeCell ref="B45:G45"/>
    <mergeCell ref="B46:G46"/>
    <mergeCell ref="B31:C31"/>
    <mergeCell ref="B32:B34"/>
    <mergeCell ref="B38:G38"/>
    <mergeCell ref="B39:G39"/>
    <mergeCell ref="B40:G40"/>
    <mergeCell ref="B20:B22"/>
    <mergeCell ref="B23:C23"/>
    <mergeCell ref="B24:B26"/>
    <mergeCell ref="B27:C27"/>
    <mergeCell ref="B28:B30"/>
    <mergeCell ref="B11:C11"/>
    <mergeCell ref="B12:B14"/>
    <mergeCell ref="B15:C15"/>
    <mergeCell ref="B16:B18"/>
    <mergeCell ref="B19:C19"/>
    <mergeCell ref="B1:G1"/>
    <mergeCell ref="B2:G2"/>
    <mergeCell ref="B5:G5"/>
    <mergeCell ref="B6:G6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1"/>
  <sheetViews>
    <sheetView workbookViewId="0"/>
  </sheetViews>
  <sheetFormatPr baseColWidth="10" defaultColWidth="10.6640625" defaultRowHeight="15" x14ac:dyDescent="0.2"/>
  <cols>
    <col min="2" max="2" width="45.5" customWidth="1"/>
  </cols>
  <sheetData>
    <row r="2" spans="2:2" x14ac:dyDescent="0.2">
      <c r="B2" s="14" t="s">
        <v>43</v>
      </c>
    </row>
    <row r="4" spans="2:2" x14ac:dyDescent="0.2">
      <c r="B4" s="15" t="s">
        <v>61</v>
      </c>
    </row>
    <row r="6" spans="2:2" x14ac:dyDescent="0.2">
      <c r="B6" s="14" t="s">
        <v>44</v>
      </c>
    </row>
    <row r="8" spans="2:2" x14ac:dyDescent="0.2">
      <c r="B8" s="14" t="s">
        <v>62</v>
      </c>
    </row>
    <row r="9" spans="2:2" x14ac:dyDescent="0.2">
      <c r="B9" t="s">
        <v>45</v>
      </c>
    </row>
    <row r="10" spans="2:2" x14ac:dyDescent="0.2">
      <c r="B10" t="s">
        <v>46</v>
      </c>
    </row>
    <row r="11" spans="2:2" x14ac:dyDescent="0.2">
      <c r="B11" s="14" t="s">
        <v>63</v>
      </c>
    </row>
    <row r="12" spans="2:2" x14ac:dyDescent="0.2">
      <c r="B12" s="14" t="s">
        <v>64</v>
      </c>
    </row>
    <row r="13" spans="2:2" x14ac:dyDescent="0.2">
      <c r="B13" s="14" t="s">
        <v>65</v>
      </c>
    </row>
    <row r="14" spans="2:2" x14ac:dyDescent="0.2">
      <c r="B14" s="14" t="s">
        <v>47</v>
      </c>
    </row>
    <row r="16" spans="2:2" x14ac:dyDescent="0.2">
      <c r="B16" s="14" t="s">
        <v>48</v>
      </c>
    </row>
    <row r="18" spans="2:2" x14ac:dyDescent="0.2">
      <c r="B18" t="s">
        <v>49</v>
      </c>
    </row>
    <row r="19" spans="2:2" x14ac:dyDescent="0.2">
      <c r="B19" t="s">
        <v>50</v>
      </c>
    </row>
    <row r="20" spans="2:2" x14ac:dyDescent="0.2">
      <c r="B20" t="s">
        <v>51</v>
      </c>
    </row>
    <row r="22" spans="2:2" x14ac:dyDescent="0.2">
      <c r="B22" s="14" t="s">
        <v>52</v>
      </c>
    </row>
    <row r="24" spans="2:2" x14ac:dyDescent="0.2">
      <c r="B24" t="s">
        <v>53</v>
      </c>
    </row>
    <row r="25" spans="2:2" x14ac:dyDescent="0.2">
      <c r="B25" t="s">
        <v>54</v>
      </c>
    </row>
    <row r="26" spans="2:2" x14ac:dyDescent="0.2">
      <c r="B26" t="s">
        <v>55</v>
      </c>
    </row>
    <row r="28" spans="2:2" x14ac:dyDescent="0.2">
      <c r="B28" s="14" t="s">
        <v>56</v>
      </c>
    </row>
    <row r="30" spans="2:2" x14ac:dyDescent="0.2">
      <c r="B30" t="s">
        <v>57</v>
      </c>
    </row>
    <row r="31" spans="2:2" x14ac:dyDescent="0.2">
      <c r="B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jibgashvili</cp:lastModifiedBy>
  <dcterms:created xsi:type="dcterms:W3CDTF">2026-06-29T22:17:35Z</dcterms:created>
  <dcterms:modified xsi:type="dcterms:W3CDTF">2026-06-29T22:17:35Z</dcterms:modified>
</cp:coreProperties>
</file>